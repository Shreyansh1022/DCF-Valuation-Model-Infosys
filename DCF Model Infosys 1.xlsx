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32BECAEC-7F26-4DD8-BB4A-B4AAEF74A955}" xr6:coauthVersionLast="47" xr6:coauthVersionMax="47" xr10:uidLastSave="{00000000-0000-0000-0000-000000000000}"/>
  <bookViews>
    <workbookView xWindow="-108" yWindow="-108" windowWidth="23256" windowHeight="12456" activeTab="3" xr2:uid="{4B1262F1-89FC-4296-8C78-BC24B80C29FA}"/>
  </bookViews>
  <sheets>
    <sheet name="Assumption sheet" sheetId="1" r:id="rId1"/>
    <sheet name="Historical data" sheetId="2" r:id="rId2"/>
    <sheet name="Forcast " sheetId="3" r:id="rId3"/>
    <sheet name="DCF mod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4" l="1"/>
  <c r="D15" i="4"/>
  <c r="D14" i="4"/>
  <c r="D12" i="4"/>
  <c r="E4" i="3"/>
  <c r="D13" i="4"/>
  <c r="E5" i="4"/>
  <c r="E6" i="4"/>
  <c r="E7" i="4"/>
  <c r="E8" i="4"/>
  <c r="E4" i="4"/>
  <c r="D8" i="4"/>
  <c r="D7" i="4"/>
  <c r="D6" i="4"/>
  <c r="D5" i="4"/>
  <c r="D4" i="4"/>
  <c r="C8" i="4"/>
  <c r="C7" i="4"/>
  <c r="C6" i="4"/>
  <c r="C5" i="4"/>
  <c r="C4" i="4"/>
  <c r="I5" i="3"/>
  <c r="I6" i="3"/>
  <c r="I7" i="3"/>
  <c r="I8" i="3"/>
  <c r="I4" i="3"/>
  <c r="H5" i="3"/>
  <c r="H6" i="3"/>
  <c r="H7" i="3"/>
  <c r="H8" i="3"/>
  <c r="H4" i="3"/>
  <c r="G5" i="3"/>
  <c r="G6" i="3"/>
  <c r="G7" i="3"/>
  <c r="G8" i="3"/>
  <c r="G4" i="3"/>
  <c r="F5" i="3"/>
  <c r="F6" i="3"/>
  <c r="F7" i="3"/>
  <c r="F8" i="3"/>
  <c r="F4" i="3"/>
  <c r="E5" i="3"/>
  <c r="E6" i="3"/>
  <c r="E7" i="3"/>
  <c r="E8" i="3"/>
  <c r="D5" i="3"/>
  <c r="D6" i="3"/>
  <c r="D7" i="3"/>
  <c r="D8" i="3"/>
  <c r="D4" i="3"/>
  <c r="C8" i="3"/>
  <c r="C7" i="3"/>
  <c r="C6" i="3"/>
  <c r="C5" i="3"/>
  <c r="C4" i="3"/>
</calcChain>
</file>

<file path=xl/sharedStrings.xml><?xml version="1.0" encoding="utf-8"?>
<sst xmlns="http://schemas.openxmlformats.org/spreadsheetml/2006/main" count="48" uniqueCount="41">
  <si>
    <t>Assumption</t>
  </si>
  <si>
    <t>Value</t>
  </si>
  <si>
    <t>Note</t>
  </si>
  <si>
    <t>Revenue Growth (Year 1–2)</t>
  </si>
  <si>
    <t>Higher initial growth</t>
  </si>
  <si>
    <t>Revenue Growth (Year 3–5)</t>
  </si>
  <si>
    <t>Slowing growth</t>
  </si>
  <si>
    <t>EBIT Margin</t>
  </si>
  <si>
    <t>Based on industry</t>
  </si>
  <si>
    <t>Tax Rate</t>
  </si>
  <si>
    <t>India corporate tax</t>
  </si>
  <si>
    <t>CapEx (% Revenue)</t>
  </si>
  <si>
    <t>IT companies low capex</t>
  </si>
  <si>
    <t>Working Capital (% Revenue)</t>
  </si>
  <si>
    <t>Low for IT</t>
  </si>
  <si>
    <t>Discount Rate (WACC)</t>
  </si>
  <si>
    <t>Standard</t>
  </si>
  <si>
    <t>Terminal Growth</t>
  </si>
  <si>
    <t>Long-term GDP-like</t>
  </si>
  <si>
    <t>Year</t>
  </si>
  <si>
    <t>Revenue</t>
  </si>
  <si>
    <t>Ebit</t>
  </si>
  <si>
    <t>Net Profit</t>
  </si>
  <si>
    <t>1,00,472</t>
  </si>
  <si>
    <t>1,21,641</t>
  </si>
  <si>
    <t>1,46,767</t>
  </si>
  <si>
    <t>1,53,670</t>
  </si>
  <si>
    <t>Tax</t>
  </si>
  <si>
    <t>NOPAT</t>
  </si>
  <si>
    <t>Capex</t>
  </si>
  <si>
    <t>WC</t>
  </si>
  <si>
    <t>FCF</t>
  </si>
  <si>
    <t>Discount Factor</t>
  </si>
  <si>
    <t>Present Value</t>
  </si>
  <si>
    <t>sum of present value</t>
  </si>
  <si>
    <t>Terminal value</t>
  </si>
  <si>
    <t>DISCOUNT TERMINAL VALUE</t>
  </si>
  <si>
    <t>Enterprise value</t>
  </si>
  <si>
    <t>Result</t>
  </si>
  <si>
    <t xml:space="preserve">Discount Rate 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</si>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</sst>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9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 vertical="center" wrapText="1"/>
    </xf>
    <xf numFmtId="2" fontId="2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2" fontId="2" fillId="3" borderId="1" xfId="0" applyNumberFormat="1" applyFont="1" applyFill="1" applyBorder="1"/>
    <xf numFmtId="0" fontId="3" fillId="3" borderId="1" xfId="0" applyFont="1" applyFill="1" applyBorder="1"/>
    <xf numFmtId="0" fontId="2" fillId="2" borderId="1" xfId="0" applyFont="1" applyFill="1" applyBorder="1"/>
    <xf numFmtId="9" fontId="2" fillId="3" borderId="1" xfId="0" applyNumberFormat="1" applyFont="1" applyFill="1" applyBorder="1"/>
    <xf numFmtId="0" fontId="4" fillId="3" borderId="0" xfId="0" applyFont="1" applyFill="1"/>
    <xf numFmtId="0" fontId="5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'Forcast '!$C$3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'Forcast '!$B$4:$B$8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'Forcast '!$C$4:$C$8</c:f>
              <c:numCache>
                <c:formatCode>General</c:formatCode>
                <c:ptCount val="5"/>
                <c:pt idx="0">
                  <c:v>172110.40000000002</c:v>
                </c:pt>
                <c:pt idx="1">
                  <c:v>192763.64800000002</c:v>
                </c:pt>
                <c:pt idx="2">
                  <c:v>208184.68800000002</c:v>
                </c:pt>
                <c:pt idx="3">
                  <c:v>224839.47600000002</c:v>
                </c:pt>
                <c:pt idx="4">
                  <c:v>242826.66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E-4918-8AB0-407E527C50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6985792"/>
        <c:axId val="1546986272"/>
      </c:barChart>
      <c:catAx>
        <c:axId val="15469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86272"/>
        <c:crosses val="autoZero"/>
        <c:auto val="1"/>
        <c:lblAlgn val="ctr"/>
        <c:lblOffset val="100"/>
        <c:noMultiLvlLbl val="0"/>
      </c:catAx>
      <c:valAx>
        <c:axId val="15469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model'!$C$3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model'!$B$4:$B$8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'DCF model'!$C$4:$C$8</c:f>
              <c:numCache>
                <c:formatCode>0.00</c:formatCode>
                <c:ptCount val="5"/>
                <c:pt idx="0">
                  <c:v>21083.524000000005</c:v>
                </c:pt>
                <c:pt idx="1">
                  <c:v>23613.546880000005</c:v>
                </c:pt>
                <c:pt idx="2">
                  <c:v>25502.624280000004</c:v>
                </c:pt>
                <c:pt idx="3">
                  <c:v>27542.835810000004</c:v>
                </c:pt>
                <c:pt idx="4">
                  <c:v>29746.265850000003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D-4AAF-9DDC-691627BC70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6952192"/>
        <c:axId val="1546948352"/>
      </c:barChart>
      <c:catAx>
        <c:axId val="154695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48352"/>
        <c:crosses val="autoZero"/>
        <c:auto val="1"/>
        <c:lblAlgn val="ctr"/>
        <c:lblOffset val="100"/>
        <c:noMultiLvlLbl val="0"/>
      </c:catAx>
      <c:valAx>
        <c:axId val="15469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95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8</xdr:row>
      <xdr:rowOff>163830</xdr:rowOff>
    </xdr:from>
    <xdr:to>
      <xdr:col>15</xdr:col>
      <xdr:colOff>586740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EC1DF-9EA9-AB6F-7C3C-D7B7E7081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167640</xdr:rowOff>
    </xdr:from>
    <xdr:to>
      <xdr:col>10</xdr:col>
      <xdr:colOff>434340</xdr:colOff>
      <xdr:row>7</xdr:row>
      <xdr:rowOff>220980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2EC65-5B46-2AC1-EDC6-6104B26E2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AE06-A581-4239-B85E-D83061FE2A6B}">
  <dimension ref="B1:D10"/>
  <sheetViews>
    <sheetView workbookViewId="0">
      <selection activeCell="J7" sqref="J7"/>
    </sheetView>
  </sheetViews>
  <sheetFormatPr defaultRowHeight="14.4" x14ac:dyDescent="0.3"/>
  <cols>
    <col min="2" max="2" width="14.21875" customWidth="1"/>
    <col min="3" max="3" width="14.88671875" customWidth="1"/>
    <col min="4" max="4" width="21.6640625" customWidth="1"/>
  </cols>
  <sheetData>
    <row r="1" spans="2:4" ht="25.2" customHeight="1" x14ac:dyDescent="0.45">
      <c r="B1" s="18" t="s">
        <v>40</v>
      </c>
      <c r="C1" s="18"/>
      <c r="D1" s="18"/>
    </row>
    <row r="2" spans="2:4" ht="17.399999999999999" x14ac:dyDescent="0.3">
      <c r="B2" s="4" t="s">
        <v>0</v>
      </c>
      <c r="C2" s="4" t="s">
        <v>1</v>
      </c>
      <c r="D2" s="4" t="s">
        <v>2</v>
      </c>
    </row>
    <row r="3" spans="2:4" ht="54" x14ac:dyDescent="0.3">
      <c r="B3" s="5" t="s">
        <v>3</v>
      </c>
      <c r="C3" s="6">
        <v>0.12</v>
      </c>
      <c r="D3" s="5" t="s">
        <v>4</v>
      </c>
    </row>
    <row r="4" spans="2:4" ht="54" x14ac:dyDescent="0.3">
      <c r="B4" s="5" t="s">
        <v>5</v>
      </c>
      <c r="C4" s="6">
        <v>0.08</v>
      </c>
      <c r="D4" s="5" t="s">
        <v>6</v>
      </c>
    </row>
    <row r="5" spans="2:4" ht="36" x14ac:dyDescent="0.3">
      <c r="B5" s="5" t="s">
        <v>7</v>
      </c>
      <c r="C5" s="6">
        <v>0.23</v>
      </c>
      <c r="D5" s="5" t="s">
        <v>8</v>
      </c>
    </row>
    <row r="6" spans="2:4" ht="18" x14ac:dyDescent="0.3">
      <c r="B6" s="5" t="s">
        <v>9</v>
      </c>
      <c r="C6" s="6">
        <v>0.25</v>
      </c>
      <c r="D6" s="5" t="s">
        <v>10</v>
      </c>
    </row>
    <row r="7" spans="2:4" ht="36" x14ac:dyDescent="0.3">
      <c r="B7" s="5" t="s">
        <v>11</v>
      </c>
      <c r="C7" s="6">
        <v>0.04</v>
      </c>
      <c r="D7" s="5" t="s">
        <v>12</v>
      </c>
    </row>
    <row r="8" spans="2:4" ht="54" x14ac:dyDescent="0.3">
      <c r="B8" s="5" t="s">
        <v>13</v>
      </c>
      <c r="C8" s="6">
        <v>0.01</v>
      </c>
      <c r="D8" s="5" t="s">
        <v>14</v>
      </c>
    </row>
    <row r="9" spans="2:4" ht="54" x14ac:dyDescent="0.3">
      <c r="B9" s="5" t="s">
        <v>15</v>
      </c>
      <c r="C9" s="6">
        <v>0.1</v>
      </c>
      <c r="D9" s="5" t="s">
        <v>16</v>
      </c>
    </row>
    <row r="10" spans="2:4" ht="36" x14ac:dyDescent="0.3">
      <c r="B10" s="5" t="s">
        <v>17</v>
      </c>
      <c r="C10" s="6">
        <v>0.03</v>
      </c>
      <c r="D10" s="5" t="s">
        <v>18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1BE0-4416-41B2-9EA4-B3710CC5B206}">
  <dimension ref="B3:G13"/>
  <sheetViews>
    <sheetView workbookViewId="0">
      <selection activeCell="E18" sqref="E18"/>
    </sheetView>
  </sheetViews>
  <sheetFormatPr defaultRowHeight="14.4" x14ac:dyDescent="0.3"/>
  <cols>
    <col min="2" max="2" width="7.5546875" customWidth="1"/>
    <col min="3" max="3" width="10" bestFit="1" customWidth="1"/>
    <col min="4" max="4" width="7.77734375" bestFit="1" customWidth="1"/>
    <col min="5" max="5" width="11.109375" bestFit="1" customWidth="1"/>
  </cols>
  <sheetData>
    <row r="3" spans="2:7" ht="18" x14ac:dyDescent="0.35">
      <c r="B3" s="7" t="s">
        <v>19</v>
      </c>
      <c r="C3" s="7" t="s">
        <v>20</v>
      </c>
      <c r="D3" s="7" t="s">
        <v>21</v>
      </c>
      <c r="E3" s="7" t="s">
        <v>22</v>
      </c>
    </row>
    <row r="4" spans="2:7" ht="18" x14ac:dyDescent="0.35">
      <c r="B4" s="8">
        <v>2021</v>
      </c>
      <c r="C4" s="5" t="s">
        <v>23</v>
      </c>
      <c r="D4" s="9">
        <v>26628</v>
      </c>
      <c r="E4" s="9">
        <v>19351</v>
      </c>
    </row>
    <row r="5" spans="2:7" ht="18" x14ac:dyDescent="0.35">
      <c r="B5" s="8">
        <v>2022</v>
      </c>
      <c r="C5" s="5" t="s">
        <v>24</v>
      </c>
      <c r="D5" s="9">
        <v>30084</v>
      </c>
      <c r="E5" s="9">
        <v>22146</v>
      </c>
    </row>
    <row r="6" spans="2:7" ht="18" x14ac:dyDescent="0.35">
      <c r="B6" s="8">
        <v>2023</v>
      </c>
      <c r="C6" s="5" t="s">
        <v>25</v>
      </c>
      <c r="D6" s="9">
        <v>36153</v>
      </c>
      <c r="E6" s="9">
        <v>24095</v>
      </c>
    </row>
    <row r="7" spans="2:7" ht="18" x14ac:dyDescent="0.35">
      <c r="B7" s="8">
        <v>2024</v>
      </c>
      <c r="C7" s="5" t="s">
        <v>26</v>
      </c>
      <c r="D7" s="9">
        <v>37510</v>
      </c>
      <c r="E7" s="9">
        <v>25000</v>
      </c>
    </row>
    <row r="10" spans="2:7" x14ac:dyDescent="0.3">
      <c r="D10" s="1"/>
      <c r="E10" s="2"/>
      <c r="F10" s="2"/>
    </row>
    <row r="11" spans="2:7" x14ac:dyDescent="0.3">
      <c r="D11" s="1"/>
      <c r="E11" s="1"/>
      <c r="F11" s="2"/>
      <c r="G11" s="2"/>
    </row>
    <row r="12" spans="2:7" x14ac:dyDescent="0.3">
      <c r="D12" s="1"/>
      <c r="E12" s="1"/>
      <c r="F12" s="2"/>
      <c r="G12" s="2"/>
    </row>
    <row r="13" spans="2:7" x14ac:dyDescent="0.3">
      <c r="D13" s="1"/>
      <c r="E13" s="1"/>
      <c r="F13" s="2"/>
      <c r="G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7478-9A84-45F2-90D6-81F6D62566FE}">
  <dimension ref="B3:I8"/>
  <sheetViews>
    <sheetView workbookViewId="0">
      <selection activeCell="I7" sqref="I7"/>
    </sheetView>
  </sheetViews>
  <sheetFormatPr defaultRowHeight="14.4" x14ac:dyDescent="0.3"/>
  <cols>
    <col min="2" max="2" width="9" bestFit="1" customWidth="1"/>
    <col min="3" max="3" width="11.6640625" bestFit="1" customWidth="1"/>
    <col min="4" max="5" width="9" bestFit="1" customWidth="1"/>
    <col min="6" max="6" width="11" bestFit="1" customWidth="1"/>
    <col min="7" max="8" width="9" bestFit="1" customWidth="1"/>
    <col min="9" max="9" width="11" bestFit="1" customWidth="1"/>
  </cols>
  <sheetData>
    <row r="3" spans="2:9" ht="18" x14ac:dyDescent="0.35">
      <c r="B3" s="7" t="s">
        <v>19</v>
      </c>
      <c r="C3" s="7" t="s">
        <v>20</v>
      </c>
      <c r="D3" s="7" t="s">
        <v>21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</row>
    <row r="4" spans="2:9" ht="18" x14ac:dyDescent="0.35">
      <c r="B4" s="8">
        <v>2025</v>
      </c>
      <c r="C4" s="8">
        <f>153670*(1+12/100)</f>
        <v>172110.40000000002</v>
      </c>
      <c r="D4" s="8">
        <f>C4*0.23</f>
        <v>39585.392000000007</v>
      </c>
      <c r="E4" s="8">
        <f>D4*0.25</f>
        <v>9896.3480000000018</v>
      </c>
      <c r="F4" s="10">
        <f>D4-E4</f>
        <v>29689.044000000005</v>
      </c>
      <c r="G4" s="8">
        <f>C4*0.04</f>
        <v>6884.4160000000011</v>
      </c>
      <c r="H4" s="8">
        <f>C4*0.01</f>
        <v>1721.1040000000003</v>
      </c>
      <c r="I4" s="10">
        <f>F4-G4-H4</f>
        <v>21083.524000000005</v>
      </c>
    </row>
    <row r="5" spans="2:9" ht="18" x14ac:dyDescent="0.35">
      <c r="B5" s="8">
        <v>2026</v>
      </c>
      <c r="C5" s="8">
        <f>172110.4*(1+12/100)</f>
        <v>192763.64800000002</v>
      </c>
      <c r="D5" s="8">
        <f t="shared" ref="D5:D8" si="0">C5*0.23</f>
        <v>44335.639040000009</v>
      </c>
      <c r="E5" s="8">
        <f t="shared" ref="E5:E8" si="1">D5*0.25</f>
        <v>11083.909760000002</v>
      </c>
      <c r="F5" s="10">
        <f t="shared" ref="F5:F8" si="2">D5-E5</f>
        <v>33251.729280000007</v>
      </c>
      <c r="G5" s="8">
        <f t="shared" ref="G5:G8" si="3">C5*0.04</f>
        <v>7710.5459200000005</v>
      </c>
      <c r="H5" s="8">
        <f t="shared" ref="H5:H8" si="4">C5*0.01</f>
        <v>1927.6364800000001</v>
      </c>
      <c r="I5" s="10">
        <f t="shared" ref="I5:I8" si="5">F5-G5-H5</f>
        <v>23613.546880000005</v>
      </c>
    </row>
    <row r="6" spans="2:9" ht="18" x14ac:dyDescent="0.35">
      <c r="B6" s="8">
        <v>2027</v>
      </c>
      <c r="C6" s="8">
        <f>192763.6*(1+8/100)</f>
        <v>208184.68800000002</v>
      </c>
      <c r="D6" s="8">
        <f t="shared" si="0"/>
        <v>47882.478240000004</v>
      </c>
      <c r="E6" s="8">
        <f t="shared" si="1"/>
        <v>11970.619560000001</v>
      </c>
      <c r="F6" s="10">
        <f t="shared" si="2"/>
        <v>35911.858680000005</v>
      </c>
      <c r="G6" s="8">
        <f t="shared" si="3"/>
        <v>8327.3875200000002</v>
      </c>
      <c r="H6" s="8">
        <f t="shared" si="4"/>
        <v>2081.8468800000001</v>
      </c>
      <c r="I6" s="10">
        <f t="shared" si="5"/>
        <v>25502.624280000004</v>
      </c>
    </row>
    <row r="7" spans="2:9" ht="18" x14ac:dyDescent="0.35">
      <c r="B7" s="8">
        <v>2028</v>
      </c>
      <c r="C7" s="8">
        <f>208184.7*(1+8/100)</f>
        <v>224839.47600000002</v>
      </c>
      <c r="D7" s="8">
        <f t="shared" si="0"/>
        <v>51713.079480000008</v>
      </c>
      <c r="E7" s="8">
        <f t="shared" si="1"/>
        <v>12928.269870000002</v>
      </c>
      <c r="F7" s="10">
        <f t="shared" si="2"/>
        <v>38784.809610000004</v>
      </c>
      <c r="G7" s="8">
        <f t="shared" si="3"/>
        <v>8993.5790400000005</v>
      </c>
      <c r="H7" s="8">
        <f t="shared" si="4"/>
        <v>2248.3947600000001</v>
      </c>
      <c r="I7" s="10">
        <f t="shared" si="5"/>
        <v>27542.835810000004</v>
      </c>
    </row>
    <row r="8" spans="2:9" ht="18" x14ac:dyDescent="0.35">
      <c r="B8" s="8">
        <v>2029</v>
      </c>
      <c r="C8" s="8">
        <f>224839.5*(1+8/100)</f>
        <v>242826.66</v>
      </c>
      <c r="D8" s="8">
        <f t="shared" si="0"/>
        <v>55850.131800000003</v>
      </c>
      <c r="E8" s="8">
        <f t="shared" si="1"/>
        <v>13962.532950000001</v>
      </c>
      <c r="F8" s="10">
        <f t="shared" si="2"/>
        <v>41887.598850000002</v>
      </c>
      <c r="G8" s="8">
        <f t="shared" si="3"/>
        <v>9713.0663999999997</v>
      </c>
      <c r="H8" s="8">
        <f t="shared" si="4"/>
        <v>2428.2665999999999</v>
      </c>
      <c r="I8" s="10">
        <f t="shared" si="5"/>
        <v>29746.265850000003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C96-44D9-4720-A9D3-90E32B39CEFE}">
  <dimension ref="A3:I15"/>
  <sheetViews>
    <sheetView tabSelected="1" workbookViewId="0">
      <selection activeCell="I12" sqref="I12"/>
    </sheetView>
  </sheetViews>
  <sheetFormatPr defaultRowHeight="14.4" x14ac:dyDescent="0.3"/>
  <cols>
    <col min="1" max="1" width="13.77734375" customWidth="1"/>
    <col min="2" max="2" width="9" bestFit="1" customWidth="1"/>
    <col min="3" max="3" width="10.21875" bestFit="1" customWidth="1"/>
    <col min="4" max="4" width="14.5546875" bestFit="1" customWidth="1"/>
    <col min="5" max="5" width="12" customWidth="1"/>
    <col min="7" max="7" width="12.77734375" customWidth="1"/>
    <col min="9" max="9" width="15.77734375" bestFit="1" customWidth="1"/>
  </cols>
  <sheetData>
    <row r="3" spans="1:9" ht="34.799999999999997" x14ac:dyDescent="0.3">
      <c r="B3" s="11" t="s">
        <v>19</v>
      </c>
      <c r="C3" s="11" t="s">
        <v>31</v>
      </c>
      <c r="D3" s="11" t="s">
        <v>32</v>
      </c>
      <c r="E3" s="11" t="s">
        <v>33</v>
      </c>
    </row>
    <row r="4" spans="1:9" ht="18" x14ac:dyDescent="0.35">
      <c r="B4" s="12">
        <v>2025</v>
      </c>
      <c r="C4" s="13">
        <f>'Forcast '!I4</f>
        <v>21083.524000000005</v>
      </c>
      <c r="D4" s="12">
        <f>1/(1+0.1)^1</f>
        <v>0.90909090909090906</v>
      </c>
      <c r="E4" s="12">
        <f>C4*D4</f>
        <v>19166.840000000004</v>
      </c>
    </row>
    <row r="5" spans="1:9" ht="18" x14ac:dyDescent="0.35">
      <c r="B5" s="12">
        <v>2026</v>
      </c>
      <c r="C5" s="13">
        <f>'Forcast '!I5</f>
        <v>23613.546880000005</v>
      </c>
      <c r="D5" s="12">
        <f>1/(1+0.1)^2</f>
        <v>0.82644628099173545</v>
      </c>
      <c r="E5" s="12">
        <f t="shared" ref="E5:E8" si="0">C5*D5</f>
        <v>19515.328000000001</v>
      </c>
    </row>
    <row r="6" spans="1:9" ht="18" x14ac:dyDescent="0.35">
      <c r="B6" s="12">
        <v>2027</v>
      </c>
      <c r="C6" s="13">
        <f>'Forcast '!I6</f>
        <v>25502.624280000004</v>
      </c>
      <c r="D6" s="12">
        <f>1/(1+0.1)^3</f>
        <v>0.75131480090157754</v>
      </c>
      <c r="E6" s="12">
        <f t="shared" si="0"/>
        <v>19160.499083395938</v>
      </c>
    </row>
    <row r="7" spans="1:9" ht="18" x14ac:dyDescent="0.35">
      <c r="B7" s="12">
        <v>2028</v>
      </c>
      <c r="C7" s="13">
        <f>'Forcast '!I7</f>
        <v>27542.835810000004</v>
      </c>
      <c r="D7" s="12">
        <f>1/(1+0.1)^4</f>
        <v>0.68301345536507052</v>
      </c>
      <c r="E7" s="12">
        <f t="shared" si="0"/>
        <v>18812.127457140905</v>
      </c>
    </row>
    <row r="8" spans="1:9" ht="18" x14ac:dyDescent="0.35">
      <c r="B8" s="12">
        <v>2029</v>
      </c>
      <c r="C8" s="13">
        <f>'Forcast '!I8</f>
        <v>29746.265850000003</v>
      </c>
      <c r="D8" s="12">
        <f>1/(1+0.1)^5</f>
        <v>0.62092132305915493</v>
      </c>
      <c r="E8" s="12">
        <f t="shared" si="0"/>
        <v>18470.09074765136</v>
      </c>
    </row>
    <row r="11" spans="1:9" ht="25.2" x14ac:dyDescent="0.45">
      <c r="G11" s="17" t="s">
        <v>38</v>
      </c>
      <c r="H11" s="3"/>
      <c r="I11" s="3"/>
    </row>
    <row r="12" spans="1:9" ht="18" x14ac:dyDescent="0.35">
      <c r="A12" s="19" t="s">
        <v>34</v>
      </c>
      <c r="B12" s="20"/>
      <c r="C12" s="21"/>
      <c r="D12" s="14">
        <f>SUM(E4:E8)</f>
        <v>95124.885288188205</v>
      </c>
      <c r="G12" s="15" t="s">
        <v>37</v>
      </c>
      <c r="H12" s="15"/>
      <c r="I12" s="12">
        <f>D12+D14</f>
        <v>358983.32454035047</v>
      </c>
    </row>
    <row r="13" spans="1:9" ht="18" x14ac:dyDescent="0.35">
      <c r="A13" s="19" t="s">
        <v>35</v>
      </c>
      <c r="B13" s="20"/>
      <c r="C13" s="21"/>
      <c r="D13" s="14">
        <f>C8/(0.1-0.03)</f>
        <v>424946.65500000003</v>
      </c>
      <c r="G13" s="15" t="s">
        <v>39</v>
      </c>
      <c r="H13" s="15"/>
      <c r="I13" s="16">
        <v>0.1</v>
      </c>
    </row>
    <row r="14" spans="1:9" ht="18" x14ac:dyDescent="0.35">
      <c r="A14" s="19" t="s">
        <v>36</v>
      </c>
      <c r="B14" s="20"/>
      <c r="C14" s="21"/>
      <c r="D14" s="14">
        <f>D13/(1+10%)^5</f>
        <v>263858.43925216229</v>
      </c>
      <c r="G14" s="15" t="s">
        <v>17</v>
      </c>
      <c r="H14" s="15"/>
      <c r="I14" s="16">
        <v>0.03</v>
      </c>
    </row>
    <row r="15" spans="1:9" x14ac:dyDescent="0.3">
      <c r="A15" s="19" t="s">
        <v>37</v>
      </c>
      <c r="B15" s="20"/>
      <c r="C15" s="21"/>
      <c r="D15" s="14">
        <f>D12+D14</f>
        <v>358983.32454035047</v>
      </c>
    </row>
  </sheetData>
  <mergeCells count="4">
    <mergeCell ref="A12:C12"/>
    <mergeCell ref="A13:C13"/>
    <mergeCell ref="A14:C14"/>
    <mergeCell ref="A15: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 sheet</vt:lpstr>
      <vt:lpstr>Historical data</vt:lpstr>
      <vt:lpstr>Forcast </vt:lpstr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shreyanshtripathi171@gmail.com</dc:creator>
  <cp:lastModifiedBy>shreyanshtripathi171@gmail.com</cp:lastModifiedBy>
  <dcterms:created xsi:type="dcterms:W3CDTF">2026-03-29T13:25:26Z</dcterms:created>
  <dcterms:modified xsi:type="dcterms:W3CDTF">2026-03-29T16:58:21Z</dcterms:modified>
</cp:coreProperties>
</file>